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Brand Matrix" sheetId="2" state="visible" r:id="rId4"/>
    <sheet name="Category Risk List" sheetId="3" state="visible" r:id="rId5"/>
    <sheet name="Retailer Landscape" sheetId="4" state="visible" r:id="rId6"/>
    <sheet name="Applied Example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<sst xmlns="http://schemas.openxmlformats.org/spreadsheetml/2006/main" count="141" uniqueCount="126">
  <si>
    <t xml:space="preserve">Private Label vs Brand Vulnerability</t>
  </si>
  <si>
    <t xml:space="preserve">Full Vulnerability Analysis Workbook — companion to the case study at /consumer/private-label</t>
  </si>
  <si>
    <t xml:space="preserve">Leon Telemaque · CPG Consumer Behaviour Analysis · 2026</t>
  </si>
  <si>
    <t xml:space="preserve">The Framework</t>
  </si>
  <si>
    <t xml:space="preserve">Every national brand's vulnerability to private label substitution can be predicted from three variables, scored per category below. A brand is defensible when at least one variable is strongly present; it is structurally vulnerable when all three are absent.</t>
  </si>
  <si>
    <t xml:space="preserve">Variable</t>
  </si>
  <si>
    <t xml:space="preserve">Definition</t>
  </si>
  <si>
    <t xml:space="preserve">Quality Perceivable</t>
  </si>
  <si>
    <t xml:space="preserve">Can the consumer reliably tell the national brand apart from the private label version in normal use, without a blind test?</t>
  </si>
  <si>
    <t xml:space="preserve">Socially Visible</t>
  </si>
  <si>
    <t xml:space="preserve">Is the product consumed or displayed where others can see the brand choice (table presence, packaging on shelf, served to guests)?</t>
  </si>
  <si>
    <t xml:space="preserve">Identity Signal</t>
  </si>
  <si>
    <t xml:space="preserve">Does choosing this brand communicate something specific about the consumer, distinct from choosing any alternative?</t>
  </si>
  <si>
    <t xml:space="preserve">Scoring Legend</t>
  </si>
  <si>
    <t xml:space="preserve">Yes / present</t>
  </si>
  <si>
    <t xml:space="preserve">Marginal / Partial</t>
  </si>
  <si>
    <t xml:space="preserve">No / absent</t>
  </si>
  <si>
    <t xml:space="preserve">Vulnerability Score = 6 minus the sum of all three variables (0 = fully defensible, 6 = maximum vulnerability).</t>
  </si>
  <si>
    <t xml:space="preserve">Headline Market Data</t>
  </si>
  <si>
    <t xml:space="preserve">Global private label retail sales, 2025</t>
  </si>
  <si>
    <t xml:space="preserve">See Sources tab — PLMA 2025 International Private Label Yearbook</t>
  </si>
  <si>
    <t xml:space="preserve">Private label sales growth, 2018 to 2025</t>
  </si>
  <si>
    <t xml:space="preserve">+47% — PLMA 2025 International Private Label Yearbook</t>
  </si>
  <si>
    <t xml:space="preserve">Canadians who believe private label matches national brand quality</t>
  </si>
  <si>
    <t xml:space="preserve">53% — NielsenIQ / Numerator consumer survey data</t>
  </si>
  <si>
    <t xml:space="preserve">Canadian households purchasing at least one private label product, 2024</t>
  </si>
  <si>
    <t xml:space="preserve">100% — NielsenIQ 2024 Canadian private label reporting</t>
  </si>
  <si>
    <t xml:space="preserve">Canadian private label share of total grocery</t>
  </si>
  <si>
    <t xml:space="preserve">19% — NielsenIQ 2024</t>
  </si>
  <si>
    <t xml:space="preserve">See the Brand Matrix, Retailer Landscape, and Sources tabs for the full scored analysis.</t>
  </si>
  <si>
    <t xml:space="preserve">Brand Vulnerability Matrix</t>
  </si>
  <si>
    <t xml:space="preserve">Scored against the three-variable framework. Source: case study analysis, /consumer/private-label.</t>
  </si>
  <si>
    <t xml:space="preserve">Brand / Category</t>
  </si>
  <si>
    <t xml:space="preserve">Vulnerability Score (0-6)</t>
  </si>
  <si>
    <t xml:space="preserve">Position</t>
  </si>
  <si>
    <t xml:space="preserve">Heinz Ketchup</t>
  </si>
  <si>
    <t xml:space="preserve">Yes: distinct taste</t>
  </si>
  <si>
    <t xml:space="preserve">Yes: table presence</t>
  </si>
  <si>
    <t xml:space="preserve">Yes: household standard</t>
  </si>
  <si>
    <t xml:space="preserve">Tide Detergent</t>
  </si>
  <si>
    <t xml:space="preserve">Marginal: blind test fails</t>
  </si>
  <si>
    <t xml:space="preserve">Partial: laundry room</t>
  </si>
  <si>
    <t xml:space="preserve">Yes: quality household</t>
  </si>
  <si>
    <t xml:space="preserve">Coca-Cola</t>
  </si>
  <si>
    <t xml:space="preserve">Yes: formula specific</t>
  </si>
  <si>
    <t xml:space="preserve">Yes: served to guests</t>
  </si>
  <si>
    <t xml:space="preserve">Yes: cultural icon</t>
  </si>
  <si>
    <t xml:space="preserve">Canada Dry</t>
  </si>
  <si>
    <t xml:space="preserve">Marginal: hard to detect</t>
  </si>
  <si>
    <t xml:space="preserve">No: mixed or private</t>
  </si>
  <si>
    <t xml:space="preserve">No: generic occasion</t>
  </si>
  <si>
    <t xml:space="preserve">Barilla Pasta</t>
  </si>
  <si>
    <t xml:space="preserve">No: identical finished dish</t>
  </si>
  <si>
    <t xml:space="preserve">No: packaging discarded</t>
  </si>
  <si>
    <t xml:space="preserve">No: invisible in meal</t>
  </si>
  <si>
    <t xml:space="preserve">McCormick Spices</t>
  </si>
  <si>
    <t xml:space="preserve">Marginal: cooked in</t>
  </si>
  <si>
    <t xml:space="preserve">No: used in preparation</t>
  </si>
  <si>
    <t xml:space="preserve">No: invisible at table</t>
  </si>
  <si>
    <t xml:space="preserve">No Name Frozen Veg (private label)</t>
  </si>
  <si>
    <t xml:space="preserve">No: identical product</t>
  </si>
  <si>
    <t xml:space="preserve">No: served on plate</t>
  </si>
  <si>
    <t xml:space="preserve">No: no signal attached</t>
  </si>
  <si>
    <t xml:space="preserve">Vulnerability Score: 6 minus the sum of Yes(=2)/Marginal or Partial(=1)/No(=0) across the three columns. Position bands: 0-1 Protected, 2-3 Contested, 4-6 Vulnerable.</t>
  </si>
  <si>
    <t xml:space="preserve">Protected vs Vulnerable Categories</t>
  </si>
  <si>
    <t xml:space="preserve">Named examples from the case study's brand-or-commodity framework (not individually scored on all three variables).</t>
  </si>
  <si>
    <t xml:space="preserve">Why</t>
  </si>
  <si>
    <t xml:space="preserve">Protected</t>
  </si>
  <si>
    <t xml:space="preserve">Heinz</t>
  </si>
  <si>
    <t xml:space="preserve">High visibility (table presence) and identity signal; taste gap is real and marketed on.</t>
  </si>
  <si>
    <t xml:space="preserve">Tide</t>
  </si>
  <si>
    <t xml:space="preserve">Category-defining quality reputation; laundry-room visibility is partial but identity signal is strong.</t>
  </si>
  <si>
    <t xml:space="preserve">Formula-specific taste, served-to-guests visibility, and cultural-icon identity signal, all three present.</t>
  </si>
  <si>
    <t xml:space="preserve">Hellmann's</t>
  </si>
  <si>
    <t xml:space="preserve">Premium positioning reinforced through recipe partnerships that create new, higher-visibility consumption occasions.</t>
  </si>
  <si>
    <t xml:space="preserve">Folgers</t>
  </si>
  <si>
    <t xml:space="preserve">Established household-standard identity in a visible, socially shared occasion (morning coffee).</t>
  </si>
  <si>
    <t xml:space="preserve">Vulnerable</t>
  </si>
  <si>
    <t xml:space="preserve">Ragu (pasta sauce)</t>
  </si>
  <si>
    <t xml:space="preserve">Low visibility once mixed into a dish, no identity signal, marginal perceivable taste gap.</t>
  </si>
  <si>
    <t xml:space="preserve">Generic pasta</t>
  </si>
  <si>
    <t xml:space="preserve">Identical finished dish, packaging discarded before consumption, no identity signal at the table.</t>
  </si>
  <si>
    <t xml:space="preserve">Store seasonings</t>
  </si>
  <si>
    <t xml:space="preserve">Cooked into the dish, invisible at the table, marginal perceivable difference.</t>
  </si>
  <si>
    <t xml:space="preserve">Canned goods</t>
  </si>
  <si>
    <t xml:space="preserve">Low visibility, low identity signal, and generally low perceivable quality gap once prepared.</t>
  </si>
  <si>
    <t xml:space="preserve">Frozen vegetables</t>
  </si>
  <si>
    <t xml:space="preserve">Served on the plate identically to the private label equivalent; no signal attached to the brand choice.</t>
  </si>
  <si>
    <t xml:space="preserve">Source: case study binary-split panel, /consumer/private-label (Position 01: Brand / Position 02: Commodity).</t>
  </si>
  <si>
    <t xml:space="preserve">Canadian Private Label Ecosystem</t>
  </si>
  <si>
    <t xml:space="preserve">Who is taking the share, by retailer. Source: case study Canadian Retailer Data block, /consumer/private-label.</t>
  </si>
  <si>
    <t xml:space="preserve">Retailer</t>
  </si>
  <si>
    <t xml:space="preserve">Private Label Brands</t>
  </si>
  <si>
    <t xml:space="preserve">Threatening Categories</t>
  </si>
  <si>
    <t xml:space="preserve">Loblaw</t>
  </si>
  <si>
    <t xml:space="preserve">President's Choice + No Name</t>
  </si>
  <si>
    <t xml:space="preserve">Market leader. PC launched 1984, now 2,000+ products. No Name is the value tier. PC and No Name growing ahead of overall Loblaw sales in 2025.</t>
  </si>
  <si>
    <t xml:space="preserve">Packaged foods, beverages, household, dairy</t>
  </si>
  <si>
    <t xml:space="preserve">Metro</t>
  </si>
  <si>
    <t xml:space="preserve">Selection + Irresistible</t>
  </si>
  <si>
    <t xml:space="preserve">Quebec strength. Selection is ~24% of Metro grocery sales in Quebec with 68% brand recognition, the most recognised private label in the province. Irresistible positions against PC at premium tier.</t>
  </si>
  <si>
    <t xml:space="preserve">Grocery staples, frozen, dairy, bakery</t>
  </si>
  <si>
    <t xml:space="preserve">Sobeys</t>
  </si>
  <si>
    <t xml:space="preserve">Compliments + Panache</t>
  </si>
  <si>
    <t xml:space="preserve">National scale across Safeway, FreshCo, Farm Boy, IGA, and Longo's. Empire reported continued store brand expansion in its 2024 annual report. Panache targets PC-equivalent premium positioning.</t>
  </si>
  <si>
    <t xml:space="preserve">Packaged grocery, prepared foods, household</t>
  </si>
  <si>
    <t xml:space="preserve">All three major Canadian grocery chains are growing private label faster than national brands simultaneously; the competitive pressure is structural and national.</t>
  </si>
  <si>
    <t xml:space="preserve">Framework Applied: Selection Ginger Ale vs Canada Dry</t>
  </si>
  <si>
    <t xml:space="preserve">A real purchase decision run through the three-variable framework.</t>
  </si>
  <si>
    <t xml:space="preserve">Quality Perceivable?</t>
  </si>
  <si>
    <t xml:space="preserve">No — carbonation, sweetness, and ginger flavour indistinguishable once poured into a glass.</t>
  </si>
  <si>
    <t xml:space="preserve">Socially Visible?</t>
  </si>
  <si>
    <t xml:space="preserve">No — consumed privately or mixed into a drink; nobody sees the can, zero social information.</t>
  </si>
  <si>
    <t xml:space="preserve">Identity Signal?</t>
  </si>
  <si>
    <t xml:space="preserve">No — ginger ale brand loyalty signals nothing specific about the consumer who maintains it.</t>
  </si>
  <si>
    <t xml:space="preserve">Verdict</t>
  </si>
  <si>
    <t xml:space="preserve">Three variables, three zeros. The Canada Dry premium is structurally indefensible once Selection achieves quality parity, which it has. The switch is not a preference change, it is a rational consumer responding correctly to a brand that was never worth paying extra for in this category.</t>
  </si>
  <si>
    <t xml:space="preserve">Data Sources</t>
  </si>
  <si>
    <t xml:space="preserve">Matches the Data Sources block on the published case study, /consumer/private-label.</t>
  </si>
  <si>
    <t xml:space="preserve">• Canadian grocery share and household penetration: NielsenIQ 2024 Canadian private label reporting.</t>
  </si>
  <si>
    <t xml:space="preserve">• Global private label sales size and growth rate: PLMA (Private Label Manufacturers Association) 2025 International Private Label Yearbook.</t>
  </si>
  <si>
    <t xml:space="preserve">• Consumer quality-perception and price-motivation figures: NielsenIQ and Numerator consumer survey data as reported in Canadian grocery trade press.</t>
  </si>
  <si>
    <t xml:space="preserve">• Metro / Selection brand share and recognition figures: Metro Inc. investor disclosures and public brand-tracking coverage.</t>
  </si>
  <si>
    <t xml:space="preserve">• Category-level share breakdowns (bakery, meat, general grocery) are approximate and rounded from the same NielsenIQ / PLMA reporting.</t>
  </si>
  <si>
    <t xml:space="preserve">• Brand vulnerability matrix and applied example: original analysis for this case study, built on the sourced figures above.</t>
  </si>
  <si>
    <t xml:space="preserve">Leon Telemaque · leon.telemaque@gmail.com · Case study: /consumer/private-label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</si>
</sst>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i val="true"/>
      <sz val="10"/>
      <color rgb="FF4B5563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EF444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444"/>
      <rgbColor rgb="FF6B7280"/>
      <rgbColor rgb="FF969696"/>
      <rgbColor rgb="FF003366"/>
      <rgbColor rgb="FF22C55E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48" hidden="false" customHeight="true" outlineLevel="0" collapsed="false">
      <c r="A6" s="4" t="s">
        <v>4</v>
      </c>
      <c r="B6" s="4"/>
    </row>
    <row r="8" customFormat="false" ht="15" hidden="false" customHeight="false" outlineLevel="0" collapsed="false">
      <c r="A8" s="5" t="s">
        <v>5</v>
      </c>
      <c r="B8" s="5" t="s">
        <v>6</v>
      </c>
    </row>
    <row r="9" customFormat="false" ht="42" hidden="false" customHeight="true" outlineLevel="0" collapsed="false">
      <c r="A9" s="6" t="s">
        <v>7</v>
      </c>
      <c r="B9" s="7" t="s">
        <v>8</v>
      </c>
    </row>
    <row r="10" customFormat="false" ht="42" hidden="false" customHeight="true" outlineLevel="0" collapsed="false">
      <c r="A10" s="6" t="s">
        <v>9</v>
      </c>
      <c r="B10" s="7" t="s">
        <v>10</v>
      </c>
    </row>
    <row r="11" customFormat="false" ht="42" hidden="false" customHeight="true" outlineLevel="0" collapsed="false">
      <c r="A11" s="6" t="s">
        <v>11</v>
      </c>
      <c r="B11" s="7" t="s">
        <v>12</v>
      </c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0" t="s">
        <v>14</v>
      </c>
      <c r="B14" s="0" t="n">
        <v>2</v>
      </c>
    </row>
    <row r="15" customFormat="false" ht="15" hidden="false" customHeight="false" outlineLevel="0" collapsed="false">
      <c r="A15" s="0" t="s">
        <v>15</v>
      </c>
      <c r="B15" s="0" t="n">
        <v>1</v>
      </c>
    </row>
    <row r="16" customFormat="false" ht="15" hidden="false" customHeight="false" outlineLevel="0" collapsed="false">
      <c r="A16" s="0" t="s">
        <v>16</v>
      </c>
      <c r="B16" s="0" t="n">
        <v>0</v>
      </c>
    </row>
    <row r="18" customFormat="false" ht="15" hidden="false" customHeight="false" outlineLevel="0" collapsed="false">
      <c r="A18" s="8" t="s">
        <v>17</v>
      </c>
      <c r="B18" s="8"/>
    </row>
    <row r="21" customFormat="false" ht="15" hidden="false" customHeight="false" outlineLevel="0" collapsed="false">
      <c r="A21" s="3" t="s">
        <v>18</v>
      </c>
    </row>
    <row r="22" customFormat="false" ht="27.75" hidden="false" customHeight="true" outlineLevel="0" collapsed="false">
      <c r="A22" s="7" t="s">
        <v>19</v>
      </c>
      <c r="B22" s="7" t="s">
        <v>20</v>
      </c>
    </row>
    <row r="23" customFormat="false" ht="27.75" hidden="false" customHeight="true" outlineLevel="0" collapsed="false">
      <c r="A23" s="7" t="s">
        <v>21</v>
      </c>
      <c r="B23" s="7" t="s">
        <v>22</v>
      </c>
    </row>
    <row r="24" customFormat="false" ht="27.75" hidden="false" customHeight="true" outlineLevel="0" collapsed="false">
      <c r="A24" s="7" t="s">
        <v>23</v>
      </c>
      <c r="B24" s="7" t="s">
        <v>24</v>
      </c>
    </row>
    <row r="25" customFormat="false" ht="27.75" hidden="false" customHeight="true" outlineLevel="0" collapsed="false">
      <c r="A25" s="7" t="s">
        <v>25</v>
      </c>
      <c r="B25" s="7" t="s">
        <v>26</v>
      </c>
    </row>
    <row r="26" customFormat="false" ht="27.75" hidden="false" customHeight="true" outlineLevel="0" collapsed="false">
      <c r="A26" s="7" t="s">
        <v>27</v>
      </c>
      <c r="B26" s="7" t="s">
        <v>28</v>
      </c>
    </row>
    <row r="28" customFormat="false" ht="15" hidden="false" customHeight="false" outlineLevel="0" collapsed="false">
      <c r="A28" s="9" t="s">
        <v>29</v>
      </c>
    </row>
  </sheetData>
  <mergeCells count="2">
    <mergeCell ref="A6:B6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0" hidden="false" customHeight="true" outlineLevel="0" collapsed="false">
      <c r="A4" s="5" t="s">
        <v>32</v>
      </c>
      <c r="B4" s="5" t="s">
        <v>7</v>
      </c>
      <c r="C4" s="5" t="s">
        <v>9</v>
      </c>
      <c r="D4" s="5" t="s">
        <v>11</v>
      </c>
      <c r="E4" s="5" t="s">
        <v>33</v>
      </c>
      <c r="F4" s="5" t="s">
        <v>34</v>
      </c>
    </row>
    <row r="5" customFormat="false" ht="36" hidden="false" customHeight="true" outlineLevel="0" collapsed="false">
      <c r="A5" s="10" t="s">
        <v>35</v>
      </c>
      <c r="B5" s="11" t="s">
        <v>36</v>
      </c>
      <c r="C5" s="11" t="s">
        <v>37</v>
      </c>
      <c r="D5" s="11" t="s">
        <v>38</v>
      </c>
      <c r="E5" s="11" t="n">
        <f aca="false">6-((IF(LEFT(B5,3)="Yes",2,IF(OR(LEFT(B5,4)="Marg",LEFT(B5,4)="Part"),1,0)))+(IF(LEFT(C5,3)="Yes",2,IF(OR(LEFT(C5,4)="Marg",LEFT(C5,4)="Part"),1,0)))+(IF(LEFT(D5,3)="Yes",2,IF(OR(LEFT(D5,4)="Marg",LEFT(D5,4)="Part"),1,0))))</f>
        <v>0</v>
      </c>
      <c r="F5" s="11" t="str">
        <f aca="false">IF(E5&lt;=1,"Protected",IF(E5&lt;=3,"Contested","Vulnerable"))</f>
        <v>Protected</v>
      </c>
    </row>
    <row r="6" customFormat="false" ht="36" hidden="false" customHeight="true" outlineLevel="0" collapsed="false">
      <c r="A6" s="10" t="s">
        <v>39</v>
      </c>
      <c r="B6" s="11" t="s">
        <v>40</v>
      </c>
      <c r="C6" s="11" t="s">
        <v>41</v>
      </c>
      <c r="D6" s="11" t="s">
        <v>42</v>
      </c>
      <c r="E6" s="11" t="n">
        <f aca="false">6-((IF(LEFT(B6,3)="Yes",2,IF(OR(LEFT(B6,4)="Marg",LEFT(B6,4)="Part"),1,0)))+(IF(LEFT(C6,3)="Yes",2,IF(OR(LEFT(C6,4)="Marg",LEFT(C6,4)="Part"),1,0)))+(IF(LEFT(D6,3)="Yes",2,IF(OR(LEFT(D6,4)="Marg",LEFT(D6,4)="Part"),1,0))))</f>
        <v>2</v>
      </c>
      <c r="F6" s="11" t="str">
        <f aca="false">IF(E6&lt;=1,"Protected",IF(E6&lt;=3,"Contested","Vulnerable"))</f>
        <v>Contested</v>
      </c>
    </row>
    <row r="7" customFormat="false" ht="36" hidden="false" customHeight="true" outlineLevel="0" collapsed="false">
      <c r="A7" s="10" t="s">
        <v>43</v>
      </c>
      <c r="B7" s="11" t="s">
        <v>44</v>
      </c>
      <c r="C7" s="11" t="s">
        <v>45</v>
      </c>
      <c r="D7" s="11" t="s">
        <v>46</v>
      </c>
      <c r="E7" s="11" t="n">
        <f aca="false">6-((IF(LEFT(B7,3)="Yes",2,IF(OR(LEFT(B7,4)="Marg",LEFT(B7,4)="Part"),1,0)))+(IF(LEFT(C7,3)="Yes",2,IF(OR(LEFT(C7,4)="Marg",LEFT(C7,4)="Part"),1,0)))+(IF(LEFT(D7,3)="Yes",2,IF(OR(LEFT(D7,4)="Marg",LEFT(D7,4)="Part"),1,0))))</f>
        <v>0</v>
      </c>
      <c r="F7" s="11" t="str">
        <f aca="false">IF(E7&lt;=1,"Protected",IF(E7&lt;=3,"Contested","Vulnerable"))</f>
        <v>Protected</v>
      </c>
    </row>
    <row r="8" customFormat="false" ht="36" hidden="false" customHeight="true" outlineLevel="0" collapsed="false">
      <c r="A8" s="10" t="s">
        <v>47</v>
      </c>
      <c r="B8" s="11" t="s">
        <v>48</v>
      </c>
      <c r="C8" s="11" t="s">
        <v>49</v>
      </c>
      <c r="D8" s="11" t="s">
        <v>50</v>
      </c>
      <c r="E8" s="11" t="n">
        <f aca="false">6-((IF(LEFT(B8,3)="Yes",2,IF(OR(LEFT(B8,4)="Marg",LEFT(B8,4)="Part"),1,0)))+(IF(LEFT(C8,3)="Yes",2,IF(OR(LEFT(C8,4)="Marg",LEFT(C8,4)="Part"),1,0)))+(IF(LEFT(D8,3)="Yes",2,IF(OR(LEFT(D8,4)="Marg",LEFT(D8,4)="Part"),1,0))))</f>
        <v>5</v>
      </c>
      <c r="F8" s="11" t="str">
        <f aca="false">IF(E8&lt;=1,"Protected",IF(E8&lt;=3,"Contested","Vulnerable"))</f>
        <v>Vulnerable</v>
      </c>
    </row>
    <row r="9" customFormat="false" ht="36" hidden="false" customHeight="true" outlineLevel="0" collapsed="false">
      <c r="A9" s="10" t="s">
        <v>51</v>
      </c>
      <c r="B9" s="11" t="s">
        <v>52</v>
      </c>
      <c r="C9" s="11" t="s">
        <v>53</v>
      </c>
      <c r="D9" s="11" t="s">
        <v>54</v>
      </c>
      <c r="E9" s="11" t="n">
        <f aca="false">6-((IF(LEFT(B9,3)="Yes",2,IF(OR(LEFT(B9,4)="Marg",LEFT(B9,4)="Part"),1,0)))+(IF(LEFT(C9,3)="Yes",2,IF(OR(LEFT(C9,4)="Marg",LEFT(C9,4)="Part"),1,0)))+(IF(LEFT(D9,3)="Yes",2,IF(OR(LEFT(D9,4)="Marg",LEFT(D9,4)="Part"),1,0))))</f>
        <v>6</v>
      </c>
      <c r="F9" s="11" t="str">
        <f aca="false">IF(E9&lt;=1,"Protected",IF(E9&lt;=3,"Contested","Vulnerable"))</f>
        <v>Vulnerable</v>
      </c>
    </row>
    <row r="10" customFormat="false" ht="36" hidden="false" customHeight="true" outlineLevel="0" collapsed="false">
      <c r="A10" s="10" t="s">
        <v>55</v>
      </c>
      <c r="B10" s="11" t="s">
        <v>56</v>
      </c>
      <c r="C10" s="11" t="s">
        <v>57</v>
      </c>
      <c r="D10" s="11" t="s">
        <v>58</v>
      </c>
      <c r="E10" s="11" t="n">
        <f aca="false">6-((IF(LEFT(B10,3)="Yes",2,IF(OR(LEFT(B10,4)="Marg",LEFT(B10,4)="Part"),1,0)))+(IF(LEFT(C10,3)="Yes",2,IF(OR(LEFT(C10,4)="Marg",LEFT(C10,4)="Part"),1,0)))+(IF(LEFT(D10,3)="Yes",2,IF(OR(LEFT(D10,4)="Marg",LEFT(D10,4)="Part"),1,0))))</f>
        <v>5</v>
      </c>
      <c r="F10" s="11" t="str">
        <f aca="false">IF(E10&lt;=1,"Protected",IF(E10&lt;=3,"Contested","Vulnerable"))</f>
        <v>Vulnerable</v>
      </c>
    </row>
    <row r="11" customFormat="false" ht="36" hidden="false" customHeight="true" outlineLevel="0" collapsed="false">
      <c r="A11" s="10" t="s">
        <v>59</v>
      </c>
      <c r="B11" s="11" t="s">
        <v>60</v>
      </c>
      <c r="C11" s="11" t="s">
        <v>61</v>
      </c>
      <c r="D11" s="11" t="s">
        <v>62</v>
      </c>
      <c r="E11" s="11" t="n">
        <f aca="false">6-((IF(LEFT(B11,3)="Yes",2,IF(OR(LEFT(B11,4)="Marg",LEFT(B11,4)="Part"),1,0)))+(IF(LEFT(C11,3)="Yes",2,IF(OR(LEFT(C11,4)="Marg",LEFT(C11,4)="Part"),1,0)))+(IF(LEFT(D11,3)="Yes",2,IF(OR(LEFT(D11,4)="Marg",LEFT(D11,4)="Part"),1,0))))</f>
        <v>6</v>
      </c>
      <c r="F11" s="11" t="str">
        <f aca="false">IF(E11&lt;=1,"Protected",IF(E11&lt;=3,"Contested","Vulnerable"))</f>
        <v>Vulnerable</v>
      </c>
    </row>
    <row r="13" customFormat="false" ht="25.5" hidden="false" customHeight="true" outlineLevel="0" collapsed="false">
      <c r="A13" s="8" t="s">
        <v>63</v>
      </c>
      <c r="B13" s="8"/>
      <c r="C13" s="8"/>
      <c r="D13" s="8"/>
      <c r="E13" s="8"/>
      <c r="F13" s="8"/>
    </row>
  </sheetData>
  <mergeCells count="1"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64</v>
      </c>
    </row>
    <row r="2" customFormat="false" ht="15" hidden="false" customHeight="false" outlineLevel="0" collapsed="false">
      <c r="A2" s="2" t="s">
        <v>65</v>
      </c>
    </row>
    <row r="4" customFormat="false" ht="15" hidden="false" customHeight="false" outlineLevel="0" collapsed="false">
      <c r="A4" s="5" t="s">
        <v>34</v>
      </c>
      <c r="B4" s="5" t="s">
        <v>32</v>
      </c>
      <c r="C4" s="5" t="s">
        <v>66</v>
      </c>
    </row>
    <row r="5" customFormat="false" ht="31.5" hidden="false" customHeight="true" outlineLevel="0" collapsed="false">
      <c r="A5" s="12" t="s">
        <v>67</v>
      </c>
      <c r="B5" s="13" t="s">
        <v>68</v>
      </c>
      <c r="C5" s="14" t="s">
        <v>69</v>
      </c>
    </row>
    <row r="6" customFormat="false" ht="31.5" hidden="false" customHeight="true" outlineLevel="0" collapsed="false">
      <c r="A6" s="12" t="s">
        <v>67</v>
      </c>
      <c r="B6" s="13" t="s">
        <v>70</v>
      </c>
      <c r="C6" s="14" t="s">
        <v>71</v>
      </c>
    </row>
    <row r="7" customFormat="false" ht="31.5" hidden="false" customHeight="true" outlineLevel="0" collapsed="false">
      <c r="A7" s="12" t="s">
        <v>67</v>
      </c>
      <c r="B7" s="13" t="s">
        <v>43</v>
      </c>
      <c r="C7" s="14" t="s">
        <v>72</v>
      </c>
    </row>
    <row r="8" customFormat="false" ht="31.5" hidden="false" customHeight="true" outlineLevel="0" collapsed="false">
      <c r="A8" s="12" t="s">
        <v>67</v>
      </c>
      <c r="B8" s="13" t="s">
        <v>73</v>
      </c>
      <c r="C8" s="14" t="s">
        <v>74</v>
      </c>
    </row>
    <row r="9" customFormat="false" ht="31.5" hidden="false" customHeight="true" outlineLevel="0" collapsed="false">
      <c r="A9" s="12" t="s">
        <v>67</v>
      </c>
      <c r="B9" s="13" t="s">
        <v>75</v>
      </c>
      <c r="C9" s="14" t="s">
        <v>76</v>
      </c>
    </row>
    <row r="10" customFormat="false" ht="31.5" hidden="false" customHeight="true" outlineLevel="0" collapsed="false">
      <c r="A10" s="15" t="s">
        <v>77</v>
      </c>
      <c r="B10" s="13" t="s">
        <v>78</v>
      </c>
      <c r="C10" s="14" t="s">
        <v>79</v>
      </c>
    </row>
    <row r="11" customFormat="false" ht="31.5" hidden="false" customHeight="true" outlineLevel="0" collapsed="false">
      <c r="A11" s="15" t="s">
        <v>77</v>
      </c>
      <c r="B11" s="13" t="s">
        <v>80</v>
      </c>
      <c r="C11" s="14" t="s">
        <v>81</v>
      </c>
    </row>
    <row r="12" customFormat="false" ht="31.5" hidden="false" customHeight="true" outlineLevel="0" collapsed="false">
      <c r="A12" s="15" t="s">
        <v>77</v>
      </c>
      <c r="B12" s="13" t="s">
        <v>82</v>
      </c>
      <c r="C12" s="14" t="s">
        <v>83</v>
      </c>
    </row>
    <row r="13" customFormat="false" ht="31.5" hidden="false" customHeight="true" outlineLevel="0" collapsed="false">
      <c r="A13" s="15" t="s">
        <v>77</v>
      </c>
      <c r="B13" s="13" t="s">
        <v>84</v>
      </c>
      <c r="C13" s="14" t="s">
        <v>85</v>
      </c>
    </row>
    <row r="14" customFormat="false" ht="31.5" hidden="false" customHeight="true" outlineLevel="0" collapsed="false">
      <c r="A14" s="15" t="s">
        <v>77</v>
      </c>
      <c r="B14" s="13" t="s">
        <v>86</v>
      </c>
      <c r="C14" s="14" t="s">
        <v>87</v>
      </c>
    </row>
    <row r="16" customFormat="false" ht="15" hidden="false" customHeight="false" outlineLevel="0" collapsed="false">
      <c r="A16" s="8" t="s">
        <v>88</v>
      </c>
      <c r="B16" s="8"/>
      <c r="C16" s="8"/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34"/>
  </cols>
  <sheetData>
    <row r="1" customFormat="false" ht="19.7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5" t="s">
        <v>91</v>
      </c>
      <c r="B4" s="5" t="s">
        <v>92</v>
      </c>
      <c r="C4" s="5" t="s">
        <v>34</v>
      </c>
      <c r="D4" s="5" t="s">
        <v>93</v>
      </c>
    </row>
    <row r="5" customFormat="false" ht="55.5" hidden="false" customHeight="true" outlineLevel="0" collapsed="false">
      <c r="A5" s="16" t="s">
        <v>94</v>
      </c>
      <c r="B5" s="13" t="s">
        <v>95</v>
      </c>
      <c r="C5" s="14" t="s">
        <v>96</v>
      </c>
      <c r="D5" s="14" t="s">
        <v>97</v>
      </c>
    </row>
    <row r="6" customFormat="false" ht="55.5" hidden="false" customHeight="true" outlineLevel="0" collapsed="false">
      <c r="A6" s="16" t="s">
        <v>98</v>
      </c>
      <c r="B6" s="13" t="s">
        <v>99</v>
      </c>
      <c r="C6" s="14" t="s">
        <v>100</v>
      </c>
      <c r="D6" s="14" t="s">
        <v>101</v>
      </c>
    </row>
    <row r="7" customFormat="false" ht="55.5" hidden="false" customHeight="true" outlineLevel="0" collapsed="false">
      <c r="A7" s="16" t="s">
        <v>102</v>
      </c>
      <c r="B7" s="13" t="s">
        <v>103</v>
      </c>
      <c r="C7" s="14" t="s">
        <v>104</v>
      </c>
      <c r="D7" s="14" t="s">
        <v>105</v>
      </c>
    </row>
    <row r="9" customFormat="false" ht="27.75" hidden="false" customHeight="true" outlineLevel="0" collapsed="false">
      <c r="A9" s="8" t="s">
        <v>106</v>
      </c>
      <c r="B9" s="8"/>
      <c r="C9" s="8"/>
      <c r="D9" s="8"/>
    </row>
  </sheetData>
  <mergeCells count="1"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33.75" hidden="false" customHeight="true" outlineLevel="0" collapsed="false">
      <c r="A4" s="6" t="s">
        <v>109</v>
      </c>
      <c r="B4" s="7" t="s">
        <v>110</v>
      </c>
    </row>
    <row r="5" customFormat="false" ht="33.75" hidden="false" customHeight="true" outlineLevel="0" collapsed="false">
      <c r="A5" s="6" t="s">
        <v>111</v>
      </c>
      <c r="B5" s="7" t="s">
        <v>112</v>
      </c>
    </row>
    <row r="6" customFormat="false" ht="33.75" hidden="false" customHeight="true" outlineLevel="0" collapsed="false">
      <c r="A6" s="6" t="s">
        <v>113</v>
      </c>
      <c r="B6" s="7" t="s">
        <v>114</v>
      </c>
    </row>
    <row r="8" customFormat="false" ht="15" hidden="false" customHeight="false" outlineLevel="0" collapsed="false">
      <c r="A8" s="3" t="s">
        <v>115</v>
      </c>
    </row>
    <row r="9" customFormat="false" ht="60" hidden="false" customHeight="true" outlineLevel="0" collapsed="false">
      <c r="A9" s="4" t="s">
        <v>116</v>
      </c>
      <c r="B9" s="4"/>
    </row>
  </sheetData>
  <mergeCells count="1"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117</v>
      </c>
    </row>
    <row r="2" customFormat="false" ht="15" hidden="false" customHeight="false" outlineLevel="0" collapsed="false">
      <c r="A2" s="2" t="s">
        <v>118</v>
      </c>
    </row>
    <row r="4" customFormat="false" ht="27.75" hidden="false" customHeight="true" outlineLevel="0" collapsed="false">
      <c r="A4" s="7" t="s">
        <v>119</v>
      </c>
    </row>
    <row r="5" customFormat="false" ht="27.75" hidden="false" customHeight="true" outlineLevel="0" collapsed="false">
      <c r="A5" s="7" t="s">
        <v>120</v>
      </c>
    </row>
    <row r="6" customFormat="false" ht="27.75" hidden="false" customHeight="true" outlineLevel="0" collapsed="false">
      <c r="A6" s="7" t="s">
        <v>121</v>
      </c>
    </row>
    <row r="7" customFormat="false" ht="27.75" hidden="false" customHeight="true" outlineLevel="0" collapsed="false">
      <c r="A7" s="7" t="s">
        <v>122</v>
      </c>
    </row>
    <row r="8" customFormat="false" ht="27.75" hidden="false" customHeight="true" outlineLevel="0" collapsed="false">
      <c r="A8" s="7" t="s">
        <v>123</v>
      </c>
    </row>
    <row r="9" customFormat="false" ht="27.75" hidden="false" customHeight="true" outlineLevel="0" collapsed="false">
      <c r="A9" s="7" t="s">
        <v>124</v>
      </c>
    </row>
    <row r="11" customFormat="false" ht="15" hidden="false" customHeight="false" outlineLevel="0" collapsed="false">
      <c r="A11" s="9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2026-09-27T00:47:33Z</dcterms:created>
  <dc:creator>openpyxl</dc:creator>
  <dc:description/>
  <dc:language>en-US</dc:language>
  <cp:lastModifiedBy/>
  <dcterms:modified xsi:type="dcterms:W3CDTF">2026-09-27T00:47:33Z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